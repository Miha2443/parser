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20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'Лист1'!$A$1:$R$52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color theme="1"/>
      <sz val="11"/>
      <scheme val="minor"/>
    </font>
    <font>
      <name val="Times New Roman"/>
      <family val="1"/>
      <color theme="1"/>
      <sz val="11"/>
    </font>
    <font>
      <name val="Times New Roman"/>
      <charset val="204"/>
      <family val="1"/>
      <sz val="11"/>
    </font>
    <font>
      <name val="Times New Roman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49" fontId="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1" fillId="2" borderId="1" pivotButton="0" quotePrefix="0" xfId="0"/>
    <xf numFmtId="0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9" applyAlignment="1" pivotButton="0" quotePrefix="0" xfId="0">
      <alignment horizontal="center" vertical="center" wrapText="1"/>
    </xf>
    <xf numFmtId="14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10" pivotButton="0" quotePrefix="0" xfId="0"/>
    <xf numFmtId="49" fontId="3" fillId="0" borderId="10" pivotButton="0" quotePrefix="0" xfId="0"/>
    <xf numFmtId="14" fontId="3" fillId="0" borderId="10" pivotButton="0" quotePrefix="0" xfId="0"/>
    <xf numFmtId="49" fontId="4" fillId="0" borderId="1" pivotButton="0" quotePrefix="0" xfId="0"/>
    <xf numFmtId="0" fontId="4" fillId="0" borderId="1" pivotButton="0" quotePrefix="0" xfId="0"/>
    <xf numFmtId="164" fontId="1" fillId="0" borderId="1" pivotButton="0" quotePrefix="0" xfId="1"/>
    <xf numFmtId="0" fontId="5" fillId="0" borderId="10" pivotButton="0" quotePrefix="0" xfId="0"/>
    <xf numFmtId="49" fontId="5" fillId="0" borderId="10" pivotButton="0" quotePrefix="0" xfId="0"/>
    <xf numFmtId="0" fontId="5" fillId="0" borderId="10" applyAlignment="1" pivotButton="0" quotePrefix="0" xfId="0">
      <alignment horizontal="center"/>
    </xf>
    <xf numFmtId="14" fontId="5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 wrapText="1"/>
    </xf>
    <xf numFmtId="0" fontId="5" fillId="0" borderId="10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164" fontId="1" fillId="0" borderId="1" pivotButton="0" quotePrefix="0" xfId="1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52"/>
  <sheetViews>
    <sheetView showGridLines="0" tabSelected="1" view="pageBreakPreview" topLeftCell="B1" zoomScale="85" zoomScaleNormal="100" zoomScaleSheetLayoutView="85" workbookViewId="0">
      <selection activeCell="K12" sqref="K12"/>
    </sheetView>
  </sheetViews>
  <sheetFormatPr baseColWidth="8" defaultRowHeight="15"/>
  <cols>
    <col width="13" customWidth="1" min="1" max="1"/>
    <col width="24.5703125" customWidth="1" min="2" max="2"/>
    <col width="21.140625" customWidth="1" min="3" max="3"/>
    <col width="18.85546875" customWidth="1" min="4" max="4"/>
    <col width="26.140625" customWidth="1" min="5" max="5"/>
    <col width="16.5703125" customWidth="1" min="6" max="7"/>
    <col width="13" customWidth="1" min="7" max="7"/>
    <col width="22.85546875" customWidth="1" min="8" max="8"/>
    <col width="21.5703125" customWidth="1" min="9" max="9"/>
    <col width="29.42578125" customWidth="1" min="10" max="10"/>
    <col width="21.5703125" customWidth="1" min="11" max="11"/>
    <col width="22.85546875" customWidth="1" min="12" max="12"/>
    <col width="12.7109375" customWidth="1" min="13" max="13"/>
    <col width="8.5703125" customWidth="1" min="14" max="14"/>
    <col width="19" customWidth="1" min="15" max="15"/>
    <col width="12.7109375" customWidth="1" min="16" max="16"/>
    <col width="8.5703125" customWidth="1" min="17" max="17"/>
    <col width="19" customWidth="1" min="18" max="18"/>
  </cols>
  <sheetData>
    <row r="2">
      <c r="B2" s="2" t="inlineStr">
        <is>
          <t>Приложение 1 Сроки передачи ключей</t>
        </is>
      </c>
    </row>
    <row r="3" ht="15" customHeight="1">
      <c r="B3" s="9" t="inlineStr">
        <is>
          <t>Наименование группы компаний</t>
        </is>
      </c>
      <c r="C3" s="9" t="inlineStr">
        <is>
          <t>Наименование застройщика</t>
        </is>
      </c>
      <c r="D3" s="9" t="inlineStr">
        <is>
          <t>Наименование объекта</t>
        </is>
      </c>
      <c r="E3" s="9" t="inlineStr">
        <is>
          <t>Адрес</t>
        </is>
      </c>
      <c r="F3" s="9" t="inlineStr">
        <is>
          <t>id (по данным ЕИСЖС)</t>
        </is>
      </c>
      <c r="G3" s="9" t="inlineStr">
        <is>
          <t>№ проектной декларации</t>
        </is>
      </c>
      <c r="H3" s="9" t="inlineStr">
        <is>
          <t>Количество заключенных ДДУ, ед.</t>
        </is>
      </c>
      <c r="I3" s="9" t="inlineStr">
        <is>
          <t>Количество исполенных ДДУ, ед.</t>
        </is>
      </c>
      <c r="J3" s="9" t="inlineStr">
        <is>
          <t>Первоначальная дата передачи объекта долевого строительства согласно первой проекутной декаларции</t>
        </is>
      </c>
      <c r="K3" s="9" t="inlineStr">
        <is>
          <t xml:space="preserve">Текущая дата передачи объекта долевого строительства </t>
        </is>
      </c>
      <c r="L3" s="9" t="inlineStr">
        <is>
          <t>Количество ДДУ 
с переносом срока, ед.</t>
        </is>
      </c>
      <c r="M3" s="13" t="inlineStr">
        <is>
          <t>из них:</t>
        </is>
      </c>
      <c r="N3" s="14" t="n"/>
      <c r="O3" s="12" t="n"/>
      <c r="P3" s="13" t="n"/>
      <c r="Q3" s="14" t="n"/>
      <c r="R3" s="12" t="n"/>
    </row>
    <row r="4" ht="32.25" customHeight="1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9" t="inlineStr">
        <is>
          <t>Заключено ДС к ДДУ</t>
        </is>
      </c>
      <c r="N4" s="12" t="n"/>
      <c r="O4" s="9" t="inlineStr">
        <is>
          <t>не заключено ДС к ДДУ</t>
        </is>
      </c>
      <c r="P4" s="9" t="inlineStr">
        <is>
          <t>Заключено ДС к ДДУ с датой передачи до 31.12.2026</t>
        </is>
      </c>
      <c r="Q4" s="12" t="n"/>
      <c r="R4" s="9" t="inlineStr">
        <is>
          <t>не заключено ДС к ДДУ (срок до 31.12.2026)</t>
        </is>
      </c>
    </row>
    <row r="5" ht="30" customHeight="1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1" t="n"/>
      <c r="P5" s="3" t="inlineStr">
        <is>
          <t>количество ДС к ДДУ, ед.</t>
        </is>
      </c>
      <c r="Q5" s="4" t="inlineStr">
        <is>
          <t>дата передачи согласно ДС</t>
        </is>
      </c>
      <c r="R5" s="11" t="n"/>
    </row>
    <row r="6">
      <c r="B6" s="1" t="inlineStr">
        <is>
          <t>АБСОЛЮТ</t>
        </is>
      </c>
      <c r="C6" s="1" t="inlineStr">
        <is>
          <t>СЗ ГРАНДСОЮЗИНВЕСТ</t>
        </is>
      </c>
      <c r="D6" s="1" t="inlineStr">
        <is>
          <t>МФК Коллекция Лужники (жилые корпуса)</t>
        </is>
      </c>
      <c r="E6" s="1" t="inlineStr">
        <is>
          <t>г. Москва, наб. Лужнецкая, вл 2/4</t>
        </is>
      </c>
      <c r="F6" s="8" t="inlineStr">
        <is>
          <t>48767</t>
        </is>
      </c>
      <c r="G6" s="16" t="inlineStr">
        <is>
          <t>77-002773</t>
        </is>
      </c>
      <c r="H6" s="15" t="n">
        <v>721</v>
      </c>
      <c r="I6" s="15" t="n">
        <v>0</v>
      </c>
      <c r="J6" s="17" t="n">
        <v>46752</v>
      </c>
      <c r="K6" s="17" t="n">
        <v>46752</v>
      </c>
      <c r="L6" s="1" t="n">
        <v>0</v>
      </c>
      <c r="M6" s="1" t="n"/>
      <c r="N6" s="1" t="n"/>
      <c r="O6" s="1" t="n"/>
    </row>
    <row r="7">
      <c r="B7" s="1" t="inlineStr">
        <is>
          <t>Атлант</t>
        </is>
      </c>
      <c r="C7" s="1" t="inlineStr">
        <is>
          <t>СЗ ОЛИМП</t>
        </is>
      </c>
      <c r="D7" s="1" t="inlineStr">
        <is>
          <t>ЖК "Внуково Парк" 3-я очередь</t>
        </is>
      </c>
      <c r="E7" s="1" t="n"/>
      <c r="F7" s="8" t="inlineStr">
        <is>
          <t>30090</t>
        </is>
      </c>
      <c r="G7" s="1" t="inlineStr">
        <is>
          <t>77-001807</t>
        </is>
      </c>
      <c r="H7" s="1" t="n">
        <v>108</v>
      </c>
      <c r="I7" s="1" t="n">
        <v>0</v>
      </c>
      <c r="J7" s="20" t="n">
        <v>41547</v>
      </c>
      <c r="K7" s="20" t="n">
        <v>46295</v>
      </c>
      <c r="L7" s="1" t="n">
        <v>19</v>
      </c>
      <c r="M7" s="1" t="n">
        <v>5</v>
      </c>
      <c r="N7" s="20" t="n">
        <v>46295</v>
      </c>
      <c r="O7" s="1" t="n">
        <v>14</v>
      </c>
    </row>
    <row r="8" ht="150" customHeight="1">
      <c r="B8" s="1" t="inlineStr">
        <is>
          <t>СЗ ЮНИКС</t>
        </is>
      </c>
      <c r="C8" s="1" t="inlineStr">
        <is>
          <t>СЗ ЮНИКС</t>
        </is>
      </c>
      <c r="D8" s="1" t="inlineStr">
        <is>
          <t>АННАБЕЛЬ</t>
        </is>
      </c>
      <c r="E8" s="21" t="inlineStr">
        <is>
          <t>Российская Федерация, город Москва, вн.тер.г. муниципальный округ Хамовники, переулок Курсовой, дом
12/5, строение 7</t>
        </is>
      </c>
      <c r="F8" s="8" t="inlineStr">
        <is>
          <t>48353</t>
        </is>
      </c>
      <c r="G8" s="1" t="inlineStr">
        <is>
          <t>77-002758</t>
        </is>
      </c>
      <c r="H8" s="1" t="n">
        <v>4</v>
      </c>
      <c r="I8" s="1" t="n">
        <v>4</v>
      </c>
      <c r="J8" s="20" t="n">
        <v>46203</v>
      </c>
      <c r="K8" s="20" t="n">
        <v>46218</v>
      </c>
      <c r="L8" s="1" t="n">
        <v>4</v>
      </c>
      <c r="M8" s="1" t="n">
        <v>2</v>
      </c>
      <c r="N8" s="20" t="n">
        <v>46218</v>
      </c>
      <c r="O8" s="1" t="n">
        <v>2</v>
      </c>
    </row>
    <row r="9">
      <c r="B9" s="1" t="inlineStr">
        <is>
          <t>OPTIMA DEVELOPMENT</t>
        </is>
      </c>
      <c r="C9" s="1" t="inlineStr">
        <is>
          <t>СЗ ПРАЙМ ПАРК</t>
        </is>
      </c>
      <c r="D9" s="1" t="inlineStr">
        <is>
          <t>Жилой квартал PRIME PARK</t>
        </is>
      </c>
      <c r="E9" s="1" t="n"/>
      <c r="F9" s="8" t="inlineStr">
        <is>
          <t>9607</t>
        </is>
      </c>
      <c r="G9" s="1" t="inlineStr">
        <is>
          <t>77-001235</t>
        </is>
      </c>
      <c r="H9" s="1" t="n">
        <v>133</v>
      </c>
      <c r="I9" s="1" t="n">
        <v>0</v>
      </c>
      <c r="J9" s="20" t="n">
        <v>45657</v>
      </c>
      <c r="K9" s="20" t="n">
        <v>46290</v>
      </c>
      <c r="L9" s="1" t="n">
        <v>0</v>
      </c>
      <c r="M9" s="1" t="n"/>
      <c r="N9" s="1" t="n"/>
      <c r="O9" s="1" t="n"/>
    </row>
    <row r="10">
      <c r="B10" s="1" t="inlineStr">
        <is>
          <t>OPTIMA DEVELOPMENT</t>
        </is>
      </c>
      <c r="C10" s="1" t="inlineStr">
        <is>
          <t>СЗ ПРАЙМ ПАРК</t>
        </is>
      </c>
      <c r="D10" s="1" t="inlineStr">
        <is>
          <t>Жилой квартал PRIME PARK</t>
        </is>
      </c>
      <c r="E10" s="1" t="n"/>
      <c r="F10" s="8" t="inlineStr">
        <is>
          <t>67699</t>
        </is>
      </c>
      <c r="G10" s="1" t="inlineStr">
        <is>
          <t>77-003244</t>
        </is>
      </c>
      <c r="H10" s="1" t="n">
        <v>2</v>
      </c>
      <c r="I10" s="1" t="n">
        <v>0</v>
      </c>
      <c r="J10" s="20" t="n">
        <v>46692</v>
      </c>
      <c r="K10" s="20" t="n">
        <v>46752</v>
      </c>
      <c r="L10" s="1" t="n">
        <v>0</v>
      </c>
      <c r="M10" s="1" t="n"/>
      <c r="N10" s="1" t="n"/>
      <c r="O10" s="1" t="n"/>
    </row>
    <row r="11">
      <c r="B11" s="1" t="inlineStr">
        <is>
          <t>OPTIMA DEVELOPMENT</t>
        </is>
      </c>
      <c r="C11" s="1" t="inlineStr">
        <is>
          <t>СЗ ПРАЙМ ПАРК</t>
        </is>
      </c>
      <c r="D11" s="1" t="inlineStr">
        <is>
          <t>Жилой квартал PRIME PARK</t>
        </is>
      </c>
      <c r="E11" s="1" t="n"/>
      <c r="F11" s="8" t="inlineStr">
        <is>
          <t>67700</t>
        </is>
      </c>
      <c r="G11" s="1" t="inlineStr">
        <is>
          <t>77-003244</t>
        </is>
      </c>
      <c r="H11" s="1" t="n">
        <v>33</v>
      </c>
      <c r="I11" s="1" t="n">
        <v>0</v>
      </c>
      <c r="J11" s="20" t="n">
        <v>46419</v>
      </c>
      <c r="K11" s="20" t="n">
        <v>46631</v>
      </c>
      <c r="L11" s="1" t="n">
        <v>0</v>
      </c>
      <c r="M11" s="1" t="n"/>
      <c r="N11" s="1" t="n"/>
      <c r="O11" s="1" t="n"/>
    </row>
    <row r="12" ht="21" customHeight="1">
      <c r="B12" s="1" t="inlineStr">
        <is>
          <t>Seven Suns Development</t>
        </is>
      </c>
      <c r="C12" s="1" t="inlineStr">
        <is>
          <t>СЗ МСК ЛЮБЛИНСКАЯ</t>
        </is>
      </c>
      <c r="D12" s="1" t="inlineStr">
        <is>
          <t>Жилой комплекс"Светлый мир."Станция"Л". Корпус 3</t>
        </is>
      </c>
      <c r="E12" s="1" t="n"/>
      <c r="F12" s="8" t="inlineStr">
        <is>
          <t>26278</t>
        </is>
      </c>
      <c r="G12" s="1" t="inlineStr">
        <is>
          <t>77-001602</t>
        </is>
      </c>
      <c r="H12" s="1" t="n">
        <v>1168</v>
      </c>
      <c r="I12" s="1" t="n">
        <v>1168</v>
      </c>
      <c r="J12" s="20" t="n">
        <v>45107</v>
      </c>
      <c r="K12" s="20" t="n">
        <v>46660</v>
      </c>
      <c r="L12" s="1" t="n">
        <v>0</v>
      </c>
      <c r="M12" s="1" t="n">
        <v>0</v>
      </c>
      <c r="N12" s="1" t="n"/>
      <c r="O12" s="1" t="n">
        <v>1168</v>
      </c>
    </row>
    <row r="13">
      <c r="B13" s="1" t="inlineStr">
        <is>
          <t>Seven Suns Development</t>
        </is>
      </c>
      <c r="C13" s="1" t="inlineStr">
        <is>
          <t>СЗ МСК ЛЮБЛИНСКАЯ</t>
        </is>
      </c>
      <c r="D13" s="1" t="inlineStr">
        <is>
          <t>Жилой комплекс"Светлый мир"Станция"Л", корпус 8</t>
        </is>
      </c>
      <c r="E13" s="1" t="n"/>
      <c r="F13" s="8" t="inlineStr">
        <is>
          <t>27240</t>
        </is>
      </c>
      <c r="G13" s="1" t="inlineStr">
        <is>
          <t>77-001667</t>
        </is>
      </c>
      <c r="H13" s="1" t="n">
        <v>1038</v>
      </c>
      <c r="I13" s="1" t="n">
        <v>1038</v>
      </c>
      <c r="J13" s="20" t="n">
        <v>45809</v>
      </c>
      <c r="K13" s="20" t="n">
        <v>46934</v>
      </c>
      <c r="L13" s="1" t="n">
        <v>0</v>
      </c>
      <c r="M13" s="1" t="n">
        <v>0</v>
      </c>
      <c r="N13" s="1" t="n"/>
      <c r="O13" s="1" t="n">
        <v>1038</v>
      </c>
    </row>
    <row r="14">
      <c r="B14" s="1" t="inlineStr">
        <is>
          <t>Seven Suns Development</t>
        </is>
      </c>
      <c r="C14" s="1" t="inlineStr">
        <is>
          <t>СЗ МСК ЛЮБЛИНСКАЯ</t>
        </is>
      </c>
      <c r="D14" s="1" t="inlineStr">
        <is>
          <t>Жилой комплекс"Светлый мир"Станция"Л", корпус 11</t>
        </is>
      </c>
      <c r="E14" s="1" t="n"/>
      <c r="F14" s="8" t="inlineStr">
        <is>
          <t>27242</t>
        </is>
      </c>
      <c r="G14" s="1" t="inlineStr">
        <is>
          <t>77-001674</t>
        </is>
      </c>
      <c r="H14" s="1" t="n">
        <v>1126</v>
      </c>
      <c r="I14" s="1" t="n">
        <v>1126</v>
      </c>
      <c r="J14" s="20" t="n">
        <v>45107</v>
      </c>
      <c r="K14" s="20" t="n">
        <v>39355</v>
      </c>
      <c r="L14" s="1" t="n">
        <v>0</v>
      </c>
      <c r="M14" s="1" t="n">
        <v>0</v>
      </c>
      <c r="N14" s="1" t="n"/>
      <c r="O14" s="1" t="n">
        <v>1126</v>
      </c>
    </row>
    <row r="15">
      <c r="B15" s="1" t="inlineStr">
        <is>
          <t>Seven Suns Development</t>
        </is>
      </c>
      <c r="C15" s="1" t="inlineStr">
        <is>
          <t>СЗ МСК ЛЮБЛИНСКАЯ</t>
        </is>
      </c>
      <c r="D15" s="1" t="inlineStr">
        <is>
          <t>Жилой комплекс"Светлый мир"Станция"Л", корпус 26</t>
        </is>
      </c>
      <c r="E15" s="1" t="n"/>
      <c r="F15" s="8" t="inlineStr">
        <is>
          <t>27251</t>
        </is>
      </c>
      <c r="G15" s="1" t="inlineStr">
        <is>
          <t>77-001671</t>
        </is>
      </c>
      <c r="H15" s="1" t="n">
        <v>164</v>
      </c>
      <c r="I15" s="1" t="n">
        <v>164</v>
      </c>
      <c r="J15" s="20" t="n">
        <v>45809</v>
      </c>
      <c r="K15" s="20" t="n">
        <v>46934</v>
      </c>
      <c r="L15" s="1" t="n">
        <v>0</v>
      </c>
      <c r="M15" s="1" t="n">
        <v>0</v>
      </c>
      <c r="N15" s="1" t="n"/>
      <c r="O15" s="1" t="n">
        <v>164</v>
      </c>
    </row>
    <row r="16">
      <c r="B16" s="1" t="inlineStr">
        <is>
          <t>Seven Suns Development</t>
        </is>
      </c>
      <c r="C16" s="1" t="inlineStr">
        <is>
          <t>СЗ МСК ЛЮБЛИНСКАЯ</t>
        </is>
      </c>
      <c r="D16" s="1" t="inlineStr">
        <is>
          <t>Жилой комплекс "Светлый мир "Станция "Л", корпус 27</t>
        </is>
      </c>
      <c r="E16" s="1" t="n"/>
      <c r="F16" s="8" t="inlineStr">
        <is>
          <t>27252</t>
        </is>
      </c>
      <c r="G16" s="1" t="inlineStr">
        <is>
          <t>77-001672</t>
        </is>
      </c>
      <c r="H16" s="1" t="n">
        <v>189</v>
      </c>
      <c r="I16" s="1" t="n">
        <v>189</v>
      </c>
      <c r="J16" s="20" t="n">
        <v>45809</v>
      </c>
      <c r="K16" s="20" t="n">
        <v>46934</v>
      </c>
      <c r="L16" s="1" t="n">
        <v>0</v>
      </c>
      <c r="M16" s="1" t="n">
        <v>0</v>
      </c>
      <c r="N16" s="1" t="n"/>
      <c r="O16" s="1" t="n">
        <v>189</v>
      </c>
    </row>
    <row r="17">
      <c r="B17" s="1" t="inlineStr">
        <is>
          <t>Sminex</t>
        </is>
      </c>
      <c r="C17" s="1" t="inlineStr">
        <is>
          <t>СЗ ЧИСТЫЕ ПРУДЫ</t>
        </is>
      </c>
      <c r="D17" s="1" t="inlineStr">
        <is>
          <t>Фон Дессин</t>
        </is>
      </c>
      <c r="E17" s="1" t="n"/>
      <c r="F17" s="8" t="inlineStr">
        <is>
          <t>44476</t>
        </is>
      </c>
      <c r="G17" s="1" t="inlineStr">
        <is>
          <t>77-002380</t>
        </is>
      </c>
      <c r="H17" s="1" t="n">
        <v>22</v>
      </c>
      <c r="I17" s="1" t="n">
        <v>11</v>
      </c>
      <c r="J17" s="20" t="n">
        <v>45991</v>
      </c>
      <c r="K17" s="20" t="n">
        <v>46203</v>
      </c>
      <c r="L17" s="1" t="n">
        <v>16</v>
      </c>
      <c r="M17" s="1" t="n">
        <v>3</v>
      </c>
      <c r="N17" s="20" t="n">
        <v>46203</v>
      </c>
      <c r="O17" s="1">
        <f>L17-M17</f>
        <v/>
      </c>
    </row>
    <row r="18">
      <c r="B18" s="1" t="inlineStr">
        <is>
          <t>Sminex</t>
        </is>
      </c>
      <c r="C18" s="1" t="inlineStr">
        <is>
          <t>СЗ СЕРГЕЯ МАКЕЕВА</t>
        </is>
      </c>
      <c r="D18" s="1" t="inlineStr">
        <is>
          <t>Life Time</t>
        </is>
      </c>
      <c r="E18" s="1" t="n"/>
      <c r="F18" s="8" t="inlineStr">
        <is>
          <t>46310</t>
        </is>
      </c>
      <c r="G18" s="1" t="inlineStr">
        <is>
          <t>77-002520</t>
        </is>
      </c>
      <c r="H18" s="1" t="n">
        <v>439</v>
      </c>
      <c r="I18" s="1" t="n">
        <v>0</v>
      </c>
      <c r="J18" s="20" t="n">
        <v>46142</v>
      </c>
      <c r="K18" s="20" t="n">
        <v>46265</v>
      </c>
      <c r="L18" s="1" t="n">
        <v>74</v>
      </c>
      <c r="M18" s="1" t="n">
        <v>6</v>
      </c>
      <c r="N18" s="20" t="n">
        <v>46265</v>
      </c>
      <c r="O18" s="1">
        <f>L18-M18</f>
        <v/>
      </c>
    </row>
    <row r="19">
      <c r="B19" s="1" t="inlineStr">
        <is>
          <t>Sminex</t>
        </is>
      </c>
      <c r="C19" s="1" t="inlineStr">
        <is>
          <t>СЗ СМАЙНЭКС ТИШИНСКИЙ БУЛЬВАР</t>
        </is>
      </c>
      <c r="D19" s="1" t="inlineStr">
        <is>
          <t>Тишинский бульвар</t>
        </is>
      </c>
      <c r="E19" s="1" t="n"/>
      <c r="F19" s="8" t="inlineStr">
        <is>
          <t>58488</t>
        </is>
      </c>
      <c r="G19" s="1" t="inlineStr">
        <is>
          <t>77-003039</t>
        </is>
      </c>
      <c r="H19" s="1" t="n">
        <v>69</v>
      </c>
      <c r="I19" s="1" t="n">
        <v>0</v>
      </c>
      <c r="J19" s="20" t="n">
        <v>46843</v>
      </c>
      <c r="K19" s="20" t="n">
        <v>46903</v>
      </c>
      <c r="L19" s="1" t="n">
        <v>63</v>
      </c>
      <c r="M19" s="1" t="n">
        <v>1</v>
      </c>
      <c r="N19" s="20" t="n">
        <v>46903</v>
      </c>
      <c r="O19" s="1">
        <f>L19-M19</f>
        <v/>
      </c>
    </row>
    <row r="20">
      <c r="B20" s="1" t="inlineStr">
        <is>
          <t>Sminex</t>
        </is>
      </c>
      <c r="C20" s="1" t="inlineStr">
        <is>
          <t>СЗ СМАЙНЭКС ТИШИНСКИЙ БУЛЬВАР</t>
        </is>
      </c>
      <c r="D20" s="1" t="inlineStr">
        <is>
          <t>Тишинский бульвар</t>
        </is>
      </c>
      <c r="E20" s="1" t="n"/>
      <c r="F20" s="8" t="inlineStr">
        <is>
          <t>58489</t>
        </is>
      </c>
      <c r="G20" s="1" t="inlineStr">
        <is>
          <t>77-003040</t>
        </is>
      </c>
      <c r="H20" s="1" t="n">
        <v>97</v>
      </c>
      <c r="I20" s="1" t="n">
        <v>0</v>
      </c>
      <c r="J20" s="20" t="n">
        <v>46934</v>
      </c>
      <c r="K20" s="20" t="n">
        <v>47056</v>
      </c>
      <c r="L20" s="1" t="n">
        <v>93</v>
      </c>
      <c r="M20" s="1" t="n">
        <v>3</v>
      </c>
      <c r="N20" s="20" t="n">
        <v>47056</v>
      </c>
      <c r="O20" s="1">
        <f>L20-M20</f>
        <v/>
      </c>
    </row>
    <row r="21" ht="77.25" customHeight="1">
      <c r="B21" s="22" t="inlineStr">
        <is>
          <t>ЛСР</t>
        </is>
      </c>
      <c r="C21" s="22" t="inlineStr">
        <is>
          <t>СЗ СОЙМОНОВСКИЙ, 3</t>
        </is>
      </c>
      <c r="D21" s="22" t="inlineStr">
        <is>
          <t>Лё Дом / Le Dome</t>
        </is>
      </c>
      <c r="E21" s="9" t="inlineStr">
        <is>
          <t>г.. Москва, ЦАО, район Хамовники, Соймоновский проезд, земельный участок 3</t>
        </is>
      </c>
      <c r="F21" s="23" t="inlineStr">
        <is>
          <t>48805</t>
        </is>
      </c>
      <c r="G21" s="22" t="inlineStr">
        <is>
          <t>77-002775</t>
        </is>
      </c>
      <c r="H21" s="22" t="n">
        <v>100</v>
      </c>
      <c r="I21" s="22" t="n">
        <v>0</v>
      </c>
      <c r="J21" s="24" t="n">
        <v>46203</v>
      </c>
      <c r="K21" s="24" t="n">
        <v>46387</v>
      </c>
      <c r="L21" s="22" t="n">
        <v>1</v>
      </c>
      <c r="M21" s="22" t="n">
        <v>1</v>
      </c>
      <c r="N21" s="24" t="n">
        <v>46387</v>
      </c>
      <c r="O21" s="22" t="n">
        <v>0</v>
      </c>
    </row>
    <row r="22">
      <c r="B22" s="25" t="inlineStr">
        <is>
          <t>СБЕРСИТИ</t>
        </is>
      </c>
      <c r="C22" s="25" t="inlineStr">
        <is>
          <t>СБЕРСИТИ</t>
        </is>
      </c>
      <c r="D22" s="25" t="inlineStr">
        <is>
          <t>Квартал В11 СберСити</t>
        </is>
      </c>
      <c r="E22" s="25" t="n"/>
      <c r="F22" s="26" t="inlineStr">
        <is>
          <t>46278</t>
        </is>
      </c>
      <c r="G22" s="16" t="inlineStr">
        <is>
          <t>77-002515</t>
        </is>
      </c>
      <c r="H22" s="16" t="n">
        <v>351</v>
      </c>
      <c r="I22" s="16" t="n">
        <v>33</v>
      </c>
      <c r="J22" s="17" t="n">
        <v>45656</v>
      </c>
      <c r="K22" s="17" t="n">
        <v>46203</v>
      </c>
      <c r="L22" s="16" t="n">
        <v>351</v>
      </c>
      <c r="M22" s="16" t="n">
        <v>24</v>
      </c>
      <c r="N22" s="17" t="n">
        <v>45656</v>
      </c>
      <c r="O22" s="16">
        <f>L22-M22</f>
        <v/>
      </c>
    </row>
    <row r="23">
      <c r="B23" s="25" t="inlineStr">
        <is>
          <t>СБЕРСИТИ</t>
        </is>
      </c>
      <c r="C23" s="25" t="inlineStr">
        <is>
          <t>СБЕРСИТИ</t>
        </is>
      </c>
      <c r="D23" s="25" t="inlineStr">
        <is>
          <t>Квартал В12 СберСити</t>
        </is>
      </c>
      <c r="E23" s="25" t="n"/>
      <c r="F23" s="26" t="inlineStr">
        <is>
          <t>46281</t>
        </is>
      </c>
      <c r="G23" s="16" t="inlineStr">
        <is>
          <t>77-002516</t>
        </is>
      </c>
      <c r="H23" s="16" t="n">
        <v>309</v>
      </c>
      <c r="I23" s="16" t="n">
        <v>23</v>
      </c>
      <c r="J23" s="17" t="n">
        <v>45656</v>
      </c>
      <c r="K23" s="17" t="n">
        <v>46203</v>
      </c>
      <c r="L23" s="16" t="n">
        <v>309</v>
      </c>
      <c r="M23" s="16" t="n">
        <v>9</v>
      </c>
      <c r="N23" s="17" t="n">
        <v>45656</v>
      </c>
      <c r="O23" s="16">
        <f>L23-M23</f>
        <v/>
      </c>
    </row>
    <row r="24">
      <c r="B24" s="25" t="inlineStr">
        <is>
          <t>СБЕРСИТИ</t>
        </is>
      </c>
      <c r="C24" s="25" t="inlineStr">
        <is>
          <t>СБЕРСИТИ</t>
        </is>
      </c>
      <c r="D24" s="25" t="inlineStr">
        <is>
          <t>Квартал В19 корпус 1 СберСити</t>
        </is>
      </c>
      <c r="E24" s="25" t="n"/>
      <c r="F24" s="26" t="inlineStr">
        <is>
          <t>46644</t>
        </is>
      </c>
      <c r="G24" s="16" t="inlineStr">
        <is>
          <t>77-002571</t>
        </is>
      </c>
      <c r="H24" s="16" t="n">
        <v>185</v>
      </c>
      <c r="I24" s="16" t="n">
        <v>0</v>
      </c>
      <c r="J24" s="17" t="n">
        <v>45746</v>
      </c>
      <c r="K24" s="17" t="n">
        <v>46295</v>
      </c>
      <c r="L24" s="16" t="n">
        <v>180</v>
      </c>
      <c r="M24" s="16" t="n">
        <v>16</v>
      </c>
      <c r="N24" s="17" t="n">
        <v>45746</v>
      </c>
      <c r="O24" s="16">
        <f>L24-M24</f>
        <v/>
      </c>
    </row>
    <row r="25">
      <c r="B25" s="25" t="inlineStr">
        <is>
          <t>СБЕРСИТИ</t>
        </is>
      </c>
      <c r="C25" s="25" t="inlineStr">
        <is>
          <t>СБЕРСИТИ</t>
        </is>
      </c>
      <c r="D25" s="25" t="inlineStr">
        <is>
          <t>Квартал В19 корпус 2 СберСити</t>
        </is>
      </c>
      <c r="E25" s="25" t="n"/>
      <c r="F25" s="26" t="inlineStr">
        <is>
          <t>46646</t>
        </is>
      </c>
      <c r="G25" s="16" t="inlineStr">
        <is>
          <t>77-002571</t>
        </is>
      </c>
      <c r="H25" s="16" t="n">
        <v>41</v>
      </c>
      <c r="I25" s="16" t="n">
        <v>0</v>
      </c>
      <c r="J25" s="17" t="n">
        <v>45746</v>
      </c>
      <c r="K25" s="17" t="n">
        <v>46295</v>
      </c>
      <c r="L25" s="16" t="n">
        <v>41</v>
      </c>
      <c r="M25" s="16" t="n">
        <v>13</v>
      </c>
      <c r="N25" s="17" t="n">
        <v>45746</v>
      </c>
      <c r="O25" s="16">
        <f>L25-M25</f>
        <v/>
      </c>
    </row>
    <row r="26">
      <c r="B26" s="25" t="inlineStr">
        <is>
          <t>СБЕРСИТИ</t>
        </is>
      </c>
      <c r="C26" s="25" t="inlineStr">
        <is>
          <t>СБЕРСИТИ</t>
        </is>
      </c>
      <c r="D26" s="25" t="inlineStr">
        <is>
          <t>Квартал В20 корпус 1 СберСити</t>
        </is>
      </c>
      <c r="E26" s="25" t="n"/>
      <c r="F26" s="26" t="inlineStr">
        <is>
          <t>46647</t>
        </is>
      </c>
      <c r="G26" s="16" t="inlineStr">
        <is>
          <t>77-002574</t>
        </is>
      </c>
      <c r="H26" s="16" t="n">
        <v>208</v>
      </c>
      <c r="I26" s="16" t="n">
        <v>0</v>
      </c>
      <c r="J26" s="17" t="n">
        <v>45746</v>
      </c>
      <c r="K26" s="17" t="n">
        <v>46476</v>
      </c>
      <c r="L26" s="16" t="n">
        <v>208</v>
      </c>
      <c r="M26" s="16" t="n">
        <v>12</v>
      </c>
      <c r="N26" s="17" t="n">
        <v>45746</v>
      </c>
      <c r="O26" s="16">
        <f>L26-M26</f>
        <v/>
      </c>
    </row>
    <row r="27">
      <c r="B27" s="25" t="inlineStr">
        <is>
          <t>СБЕРСИТИ</t>
        </is>
      </c>
      <c r="C27" s="25" t="inlineStr">
        <is>
          <t>СБЕРСИТИ</t>
        </is>
      </c>
      <c r="D27" s="25" t="inlineStr">
        <is>
          <t>Квартал В20 корпус 2 СберСити</t>
        </is>
      </c>
      <c r="E27" s="25" t="n"/>
      <c r="F27" s="26" t="inlineStr">
        <is>
          <t>46648</t>
        </is>
      </c>
      <c r="G27" s="16" t="inlineStr">
        <is>
          <t>77-002574</t>
        </is>
      </c>
      <c r="H27" s="16" t="n">
        <v>41</v>
      </c>
      <c r="I27" s="16" t="n">
        <v>0</v>
      </c>
      <c r="J27" s="17" t="n">
        <v>45746</v>
      </c>
      <c r="K27" s="17" t="n">
        <v>46476</v>
      </c>
      <c r="L27" s="16" t="n">
        <v>41</v>
      </c>
      <c r="M27" s="16" t="n">
        <v>7</v>
      </c>
      <c r="N27" s="17" t="n">
        <v>45746</v>
      </c>
      <c r="O27" s="16">
        <f>L27-M27</f>
        <v/>
      </c>
    </row>
    <row r="28">
      <c r="B28" s="25" t="inlineStr">
        <is>
          <t>СБЕРСИТИ</t>
        </is>
      </c>
      <c r="C28" s="25" t="inlineStr">
        <is>
          <t>СБЕРСИТИ</t>
        </is>
      </c>
      <c r="D28" s="25" t="inlineStr">
        <is>
          <t>Квартал В21 корпус 1 СберСити</t>
        </is>
      </c>
      <c r="E28" s="25" t="n"/>
      <c r="F28" s="26" t="inlineStr">
        <is>
          <t>50407</t>
        </is>
      </c>
      <c r="G28" s="16" t="inlineStr">
        <is>
          <t>77-002821</t>
        </is>
      </c>
      <c r="H28" s="16" t="n">
        <v>232</v>
      </c>
      <c r="I28" s="16" t="n">
        <v>0</v>
      </c>
      <c r="J28" s="17" t="n">
        <v>45838</v>
      </c>
      <c r="K28" s="17" t="n">
        <v>46476</v>
      </c>
      <c r="L28" s="16" t="n">
        <v>229</v>
      </c>
      <c r="M28" s="16" t="n">
        <v>18</v>
      </c>
      <c r="N28" s="17" t="n">
        <v>45838</v>
      </c>
      <c r="O28" s="16">
        <f>L28-M28</f>
        <v/>
      </c>
    </row>
    <row r="29">
      <c r="B29" s="25" t="inlineStr">
        <is>
          <t>СБЕРСИТИ</t>
        </is>
      </c>
      <c r="C29" s="25" t="inlineStr">
        <is>
          <t>СБЕРСИТИ</t>
        </is>
      </c>
      <c r="D29" s="25" t="inlineStr">
        <is>
          <t>Квартал В21 корпус 2 СберСити</t>
        </is>
      </c>
      <c r="E29" s="25" t="n"/>
      <c r="F29" s="26" t="inlineStr">
        <is>
          <t>50408</t>
        </is>
      </c>
      <c r="G29" s="16" t="inlineStr">
        <is>
          <t>77-002821</t>
        </is>
      </c>
      <c r="H29" s="16" t="n">
        <v>72</v>
      </c>
      <c r="I29" s="16" t="n">
        <v>0</v>
      </c>
      <c r="J29" s="17" t="n">
        <v>45838</v>
      </c>
      <c r="K29" s="17" t="n">
        <v>46476</v>
      </c>
      <c r="L29" s="16" t="n">
        <v>72</v>
      </c>
      <c r="M29" s="16" t="n">
        <v>6</v>
      </c>
      <c r="N29" s="17" t="n">
        <v>45838</v>
      </c>
      <c r="O29" s="16">
        <f>L29-M29</f>
        <v/>
      </c>
    </row>
    <row r="30">
      <c r="B30" s="25" t="inlineStr">
        <is>
          <t>СБЕРСИТИ</t>
        </is>
      </c>
      <c r="C30" s="25" t="inlineStr">
        <is>
          <t>СБЕРСИТИ</t>
        </is>
      </c>
      <c r="D30" s="25" t="inlineStr">
        <is>
          <t>Квартал В21 корпус 3 СберСити</t>
        </is>
      </c>
      <c r="E30" s="25" t="n"/>
      <c r="F30" s="26" t="inlineStr">
        <is>
          <t>50409</t>
        </is>
      </c>
      <c r="G30" s="16" t="inlineStr">
        <is>
          <t>77-002821</t>
        </is>
      </c>
      <c r="H30" s="16" t="n">
        <v>21</v>
      </c>
      <c r="I30" s="16" t="n">
        <v>0</v>
      </c>
      <c r="J30" s="17" t="n">
        <v>45838</v>
      </c>
      <c r="K30" s="17" t="n">
        <v>46476</v>
      </c>
      <c r="L30" s="16" t="n">
        <v>19</v>
      </c>
      <c r="M30" s="16" t="n">
        <v>4</v>
      </c>
      <c r="N30" s="17" t="n">
        <v>45838</v>
      </c>
      <c r="O30" s="16">
        <f>L30-M30</f>
        <v/>
      </c>
    </row>
    <row r="31">
      <c r="B31" s="25" t="inlineStr">
        <is>
          <t>СБЕРСИТИ</t>
        </is>
      </c>
      <c r="C31" s="25" t="inlineStr">
        <is>
          <t>СБЕРСИТИ</t>
        </is>
      </c>
      <c r="D31" s="25" t="inlineStr">
        <is>
          <t>Квартал В14 корпус 1 СберСити</t>
        </is>
      </c>
      <c r="E31" s="25" t="n"/>
      <c r="F31" s="26" t="inlineStr">
        <is>
          <t>53519</t>
        </is>
      </c>
      <c r="G31" s="16" t="inlineStr">
        <is>
          <t>77-002891</t>
        </is>
      </c>
      <c r="H31" s="16" t="n">
        <v>496</v>
      </c>
      <c r="I31" s="16" t="n">
        <v>0</v>
      </c>
      <c r="J31" s="17" t="n">
        <v>46203</v>
      </c>
      <c r="K31" s="17" t="n">
        <v>46568</v>
      </c>
      <c r="L31" s="16" t="n">
        <v>337</v>
      </c>
      <c r="M31" s="16" t="n">
        <v>20</v>
      </c>
      <c r="N31" s="17" t="n">
        <v>46203</v>
      </c>
      <c r="O31" s="16">
        <f>L31-M31</f>
        <v/>
      </c>
    </row>
    <row r="32">
      <c r="B32" s="25" t="inlineStr">
        <is>
          <t>СБЕРСИТИ</t>
        </is>
      </c>
      <c r="C32" s="25" t="inlineStr">
        <is>
          <t>СБЕРСИТИ</t>
        </is>
      </c>
      <c r="D32" s="25" t="inlineStr">
        <is>
          <t>Квартал В14 корпус 2 СберСити</t>
        </is>
      </c>
      <c r="E32" s="25" t="n"/>
      <c r="F32" s="26" t="inlineStr">
        <is>
          <t>53520</t>
        </is>
      </c>
      <c r="G32" s="16" t="inlineStr">
        <is>
          <t>77-002891</t>
        </is>
      </c>
      <c r="H32" s="16" t="n">
        <v>53</v>
      </c>
      <c r="I32" s="16" t="n">
        <v>0</v>
      </c>
      <c r="J32" s="17" t="n">
        <v>46203</v>
      </c>
      <c r="K32" s="17" t="n">
        <v>46568</v>
      </c>
      <c r="L32" s="16" t="n">
        <v>49</v>
      </c>
      <c r="M32" s="16" t="n">
        <v>8</v>
      </c>
      <c r="N32" s="17" t="n">
        <v>46203</v>
      </c>
      <c r="O32" s="16">
        <f>L32-M32</f>
        <v/>
      </c>
    </row>
    <row r="33">
      <c r="B33" s="25" t="inlineStr">
        <is>
          <t>СБЕРСИТИ</t>
        </is>
      </c>
      <c r="C33" s="25" t="inlineStr">
        <is>
          <t>СБЕРСИТИ</t>
        </is>
      </c>
      <c r="D33" s="25" t="inlineStr">
        <is>
          <t>Квартал В14 корпус 3 СберСити</t>
        </is>
      </c>
      <c r="E33" s="25" t="n"/>
      <c r="F33" s="26" t="inlineStr">
        <is>
          <t>53521</t>
        </is>
      </c>
      <c r="G33" s="16" t="inlineStr">
        <is>
          <t>77-002891</t>
        </is>
      </c>
      <c r="H33" s="16" t="n">
        <v>85</v>
      </c>
      <c r="I33" s="16" t="n">
        <v>0</v>
      </c>
      <c r="J33" s="17" t="n">
        <v>46203</v>
      </c>
      <c r="K33" s="17" t="n">
        <v>46568</v>
      </c>
      <c r="L33" s="16" t="n">
        <v>68</v>
      </c>
      <c r="M33" s="16" t="n">
        <v>18</v>
      </c>
      <c r="N33" s="17" t="n">
        <v>46203</v>
      </c>
      <c r="O33" s="16">
        <f>L33-M33</f>
        <v/>
      </c>
    </row>
    <row r="34">
      <c r="B34" s="25" t="inlineStr">
        <is>
          <t>СБЕРСИТИ</t>
        </is>
      </c>
      <c r="C34" s="25" t="inlineStr">
        <is>
          <t>СБЕРСИТИ</t>
        </is>
      </c>
      <c r="D34" s="25" t="inlineStr">
        <is>
          <t>Квартал В14 корпус 4 СберСити</t>
        </is>
      </c>
      <c r="E34" s="25" t="n"/>
      <c r="F34" s="26" t="inlineStr">
        <is>
          <t>53522</t>
        </is>
      </c>
      <c r="G34" s="16" t="inlineStr">
        <is>
          <t>77-002891</t>
        </is>
      </c>
      <c r="H34" s="16" t="n">
        <v>111</v>
      </c>
      <c r="I34" s="16" t="n">
        <v>0</v>
      </c>
      <c r="J34" s="17" t="n">
        <v>46203</v>
      </c>
      <c r="K34" s="17" t="n">
        <v>46568</v>
      </c>
      <c r="L34" s="16" t="n">
        <v>89</v>
      </c>
      <c r="M34" s="16" t="n">
        <v>27</v>
      </c>
      <c r="N34" s="17" t="n">
        <v>46203</v>
      </c>
      <c r="O34" s="16">
        <f>L34-M34</f>
        <v/>
      </c>
    </row>
    <row r="35" ht="15.6" customHeight="1">
      <c r="B35" s="25" t="inlineStr">
        <is>
          <t>СБЕРСИТИ</t>
        </is>
      </c>
      <c r="C35" s="25" t="inlineStr">
        <is>
          <t>СБЕРСИТИ</t>
        </is>
      </c>
      <c r="D35" s="25" t="inlineStr">
        <is>
          <t>Квартал В14 корпус 5 СберСити</t>
        </is>
      </c>
      <c r="E35" s="25" t="n"/>
      <c r="F35" s="26" t="inlineStr">
        <is>
          <t>53523</t>
        </is>
      </c>
      <c r="G35" s="16" t="inlineStr">
        <is>
          <t>77-002891</t>
        </is>
      </c>
      <c r="H35" s="16" t="n">
        <v>56</v>
      </c>
      <c r="I35" s="16" t="n">
        <v>0</v>
      </c>
      <c r="J35" s="17" t="n">
        <v>46203</v>
      </c>
      <c r="K35" s="17" t="n">
        <v>46568</v>
      </c>
      <c r="L35" s="16" t="n">
        <v>46</v>
      </c>
      <c r="M35" s="16" t="n">
        <v>23</v>
      </c>
      <c r="N35" s="17" t="n">
        <v>46203</v>
      </c>
      <c r="O35" s="16">
        <f>L35-M35</f>
        <v/>
      </c>
    </row>
    <row r="36">
      <c r="B36" s="25" t="inlineStr">
        <is>
          <t>СБЕРСИТИ</t>
        </is>
      </c>
      <c r="C36" s="25" t="inlineStr">
        <is>
          <t>СБЕРСИТИ</t>
        </is>
      </c>
      <c r="D36" s="25" t="inlineStr">
        <is>
          <t>Квартал В17 корпус 1 СберСити</t>
        </is>
      </c>
      <c r="E36" s="25" t="n"/>
      <c r="F36" s="26" t="inlineStr">
        <is>
          <t>54578</t>
        </is>
      </c>
      <c r="G36" s="16" t="inlineStr">
        <is>
          <t>77-002931</t>
        </is>
      </c>
      <c r="H36" s="16" t="n">
        <v>379</v>
      </c>
      <c r="I36" s="16" t="n">
        <v>0</v>
      </c>
      <c r="J36" s="17" t="n">
        <v>46295</v>
      </c>
      <c r="K36" s="17" t="n">
        <v>46629</v>
      </c>
      <c r="L36" s="16" t="n">
        <v>379</v>
      </c>
      <c r="M36" s="16" t="n">
        <v>2</v>
      </c>
      <c r="N36" s="17" t="n">
        <v>46295</v>
      </c>
      <c r="O36" s="16">
        <f>L36-M36</f>
        <v/>
      </c>
    </row>
    <row r="37">
      <c r="B37" s="25" t="inlineStr">
        <is>
          <t>СБЕРСИТИ</t>
        </is>
      </c>
      <c r="C37" s="25" t="inlineStr">
        <is>
          <t>СБЕРСИТИ</t>
        </is>
      </c>
      <c r="D37" s="25" t="inlineStr">
        <is>
          <t>Квартал В17 корпус 2 СберСити</t>
        </is>
      </c>
      <c r="E37" s="25" t="n"/>
      <c r="F37" s="26" t="inlineStr">
        <is>
          <t>54579</t>
        </is>
      </c>
      <c r="G37" s="16" t="inlineStr">
        <is>
          <t>77-002931</t>
        </is>
      </c>
      <c r="H37" s="16" t="n">
        <v>82</v>
      </c>
      <c r="I37" s="16" t="n">
        <v>0</v>
      </c>
      <c r="J37" s="17" t="n">
        <v>46295</v>
      </c>
      <c r="K37" s="17" t="n">
        <v>46629</v>
      </c>
      <c r="L37" s="16" t="n">
        <v>80</v>
      </c>
      <c r="M37" s="16" t="n">
        <v>1</v>
      </c>
      <c r="N37" s="17" t="n">
        <v>46295</v>
      </c>
      <c r="O37" s="16">
        <f>L37-M37</f>
        <v/>
      </c>
    </row>
    <row r="38">
      <c r="B38" s="25" t="inlineStr">
        <is>
          <t>СБЕРСИТИ</t>
        </is>
      </c>
      <c r="C38" s="25" t="inlineStr">
        <is>
          <t>СБЕРСИТИ</t>
        </is>
      </c>
      <c r="D38" s="25" t="inlineStr">
        <is>
          <t>Квартал В17 корпус 3 СберСити</t>
        </is>
      </c>
      <c r="E38" s="25" t="n"/>
      <c r="F38" s="26" t="inlineStr">
        <is>
          <t>54580</t>
        </is>
      </c>
      <c r="G38" s="16" t="inlineStr">
        <is>
          <t>77-002931</t>
        </is>
      </c>
      <c r="H38" s="16" t="n">
        <v>125</v>
      </c>
      <c r="I38" s="16" t="n">
        <v>0</v>
      </c>
      <c r="J38" s="17" t="n">
        <v>46295</v>
      </c>
      <c r="K38" s="17" t="n">
        <v>46629</v>
      </c>
      <c r="L38" s="16" t="n">
        <v>125</v>
      </c>
      <c r="M38" s="16" t="n">
        <v>3</v>
      </c>
      <c r="N38" s="17" t="n">
        <v>46295</v>
      </c>
      <c r="O38" s="16">
        <f>L38-M38</f>
        <v/>
      </c>
    </row>
    <row r="39">
      <c r="B39" s="25" t="inlineStr">
        <is>
          <t>СБЕРСИТИ</t>
        </is>
      </c>
      <c r="C39" s="25" t="inlineStr">
        <is>
          <t>СБЕРСИТИ</t>
        </is>
      </c>
      <c r="D39" s="25" t="inlineStr">
        <is>
          <t>Квартал В17 корпус 4 СберСити</t>
        </is>
      </c>
      <c r="E39" s="25" t="n"/>
      <c r="F39" s="26" t="inlineStr">
        <is>
          <t>54581</t>
        </is>
      </c>
      <c r="G39" s="16" t="inlineStr">
        <is>
          <t>77-002931</t>
        </is>
      </c>
      <c r="H39" s="16" t="n">
        <v>49</v>
      </c>
      <c r="I39" s="16" t="n">
        <v>0</v>
      </c>
      <c r="J39" s="17" t="n">
        <v>46295</v>
      </c>
      <c r="K39" s="17" t="n">
        <v>46629</v>
      </c>
      <c r="L39" s="16" t="n">
        <v>49</v>
      </c>
      <c r="M39" s="16" t="n">
        <v>2</v>
      </c>
      <c r="N39" s="17" t="n">
        <v>46295</v>
      </c>
      <c r="O39" s="16">
        <f>L39-M39</f>
        <v/>
      </c>
    </row>
    <row r="40">
      <c r="B40" s="25" t="inlineStr">
        <is>
          <t>СБЕРСИТИ</t>
        </is>
      </c>
      <c r="C40" s="25" t="inlineStr">
        <is>
          <t>СБЕРСИТИ</t>
        </is>
      </c>
      <c r="D40" s="25" t="inlineStr">
        <is>
          <t>Квартал В17 корпус 5 СберСити</t>
        </is>
      </c>
      <c r="E40" s="25" t="n"/>
      <c r="F40" s="26" t="inlineStr">
        <is>
          <t>54582</t>
        </is>
      </c>
      <c r="G40" s="16" t="inlineStr">
        <is>
          <t>77-002931</t>
        </is>
      </c>
      <c r="H40" s="16" t="n">
        <v>35</v>
      </c>
      <c r="I40" s="16" t="n">
        <v>0</v>
      </c>
      <c r="J40" s="17" t="n">
        <v>46295</v>
      </c>
      <c r="K40" s="17" t="n">
        <v>46629</v>
      </c>
      <c r="L40" s="16" t="n">
        <v>35</v>
      </c>
      <c r="M40" s="16" t="n">
        <v>2</v>
      </c>
      <c r="N40" s="17" t="n">
        <v>46295</v>
      </c>
      <c r="O40" s="16">
        <f>L40-M40</f>
        <v/>
      </c>
    </row>
    <row r="41">
      <c r="B41" s="25" t="inlineStr">
        <is>
          <t>СБЕРСИТИ</t>
        </is>
      </c>
      <c r="C41" s="25" t="inlineStr">
        <is>
          <t>СБЕРСИТИ</t>
        </is>
      </c>
      <c r="D41" s="25" t="inlineStr">
        <is>
          <t>Квартал В17 корпус 6 СберСити</t>
        </is>
      </c>
      <c r="E41" s="25" t="n"/>
      <c r="F41" s="26" t="inlineStr">
        <is>
          <t>54583</t>
        </is>
      </c>
      <c r="G41" s="16" t="inlineStr">
        <is>
          <t>77-002931</t>
        </is>
      </c>
      <c r="H41" s="16" t="n">
        <v>52</v>
      </c>
      <c r="I41" s="16" t="n">
        <v>0</v>
      </c>
      <c r="J41" s="17" t="n">
        <v>46295</v>
      </c>
      <c r="K41" s="17" t="n">
        <v>46629</v>
      </c>
      <c r="L41" s="16" t="n">
        <v>52</v>
      </c>
      <c r="M41" s="16" t="n">
        <v>2</v>
      </c>
      <c r="N41" s="17" t="n">
        <v>46295</v>
      </c>
      <c r="O41" s="16">
        <f>L41-M41</f>
        <v/>
      </c>
    </row>
    <row r="42">
      <c r="A42" s="27" t="n"/>
      <c r="B42" s="28" t="inlineStr">
        <is>
          <t>СЗ КУРКИНСКИЙ ПРОЕКТ</t>
        </is>
      </c>
      <c r="C42" s="28" t="inlineStr">
        <is>
          <t>СЗ КУРКИНСКИЙ ПРОЕКТ</t>
        </is>
      </c>
      <c r="D42" s="28" t="inlineStr">
        <is>
          <t>КУРКИНО15</t>
        </is>
      </c>
      <c r="E42" s="28" t="n"/>
      <c r="F42" s="29" t="inlineStr">
        <is>
          <t>56102</t>
        </is>
      </c>
      <c r="G42" s="28" t="inlineStr">
        <is>
          <t>77-002969</t>
        </is>
      </c>
      <c r="H42" s="28" t="n">
        <v>422</v>
      </c>
      <c r="I42" s="28" t="n">
        <v>0</v>
      </c>
      <c r="J42" s="30" t="n">
        <v>46203</v>
      </c>
      <c r="K42" s="30" t="n">
        <v>46295</v>
      </c>
      <c r="L42" s="28" t="n">
        <v>0</v>
      </c>
      <c r="M42" s="28" t="n">
        <v>0</v>
      </c>
      <c r="N42" s="28" t="inlineStr">
        <is>
          <t>-</t>
        </is>
      </c>
      <c r="O42" s="28" t="inlineStr">
        <is>
          <t>-</t>
        </is>
      </c>
      <c r="P42" s="27" t="n"/>
      <c r="Q42" s="27" t="n"/>
      <c r="R42" s="27" t="n"/>
    </row>
    <row r="43" ht="165" customHeight="1">
      <c r="B43" s="1" t="inlineStr">
        <is>
          <t>СЗ ЭКРАН</t>
        </is>
      </c>
      <c r="C43" s="1" t="inlineStr">
        <is>
          <t>СЗ ЭКРАН</t>
        </is>
      </c>
      <c r="D43" s="1" t="inlineStr">
        <is>
          <t>Русские Сезоны</t>
        </is>
      </c>
      <c r="E43" s="21" t="inlineStr">
        <is>
          <t>Москва, ЦАО, район Замоскворечье, ул.Пятницкая,вл.16, стр.3, 6-8, 9-10, 11,12; Климентовский пер., вл.12, стр.4, 6-18; ул. Пятницкая, вл.16, стр.13; ул. Пятницкая, вл.20, стр.3; ул. Большая Ордынка, 17/8; ул. Большая Ордынка, вл.19, стр.9</t>
        </is>
      </c>
      <c r="F43" s="31" t="inlineStr">
        <is>
          <t>39716</t>
        </is>
      </c>
      <c r="G43" s="32" t="inlineStr">
        <is>
          <t>77-002215</t>
        </is>
      </c>
      <c r="H43" s="1" t="n">
        <v>80</v>
      </c>
      <c r="I43" s="1" t="n">
        <v>0</v>
      </c>
      <c r="J43" s="20" t="n">
        <v>45747</v>
      </c>
      <c r="K43" s="20" t="n">
        <v>46387</v>
      </c>
      <c r="L43" s="1" t="n"/>
      <c r="M43" s="1" t="n">
        <v>51</v>
      </c>
      <c r="N43" s="12" t="n"/>
      <c r="O43" s="1" t="n">
        <v>6</v>
      </c>
      <c r="P43" s="1" t="n">
        <v>32</v>
      </c>
      <c r="Q43" s="12" t="n"/>
      <c r="R43" s="1" t="n">
        <v>18</v>
      </c>
    </row>
    <row r="44" ht="75" customHeight="1">
      <c r="B44" s="21" t="inlineStr">
        <is>
          <t>ООО "Специализированный застройщик"  ЭС АЙ ЭС ДЕВЕЛОПМЕНТ"</t>
        </is>
      </c>
      <c r="C44" s="21" t="inlineStr">
        <is>
          <t>ООО "Специализированный застройщик"  ЭС АЙ ЭС ДЕВЕЛОПМЕНТ"</t>
        </is>
      </c>
      <c r="D44" s="21" t="inlineStr">
        <is>
          <t>ЖК «Первый Рязанский»</t>
        </is>
      </c>
      <c r="E44" s="21" t="inlineStr">
        <is>
          <t>Зеленодольская 1А</t>
        </is>
      </c>
      <c r="F44" s="8" t="inlineStr">
        <is>
          <t>70718</t>
        </is>
      </c>
      <c r="G44" s="1" t="inlineStr">
        <is>
          <t>77-003305</t>
        </is>
      </c>
      <c r="H44" s="1" t="n">
        <v>279</v>
      </c>
      <c r="I44" s="1" t="n">
        <v>278</v>
      </c>
      <c r="J44" s="20" t="n">
        <v>46196</v>
      </c>
      <c r="K44" s="21" t="inlineStr">
        <is>
          <t>дата не менялась, есть лица ,которые находятся в отъезде и попросили перенести дату передачи ключей</t>
        </is>
      </c>
      <c r="L44" s="1" t="n">
        <v>0</v>
      </c>
      <c r="M44" s="1" t="n">
        <v>0</v>
      </c>
      <c r="N44" s="1" t="n"/>
      <c r="O44" s="1" t="n"/>
    </row>
    <row r="45">
      <c r="B45" s="1" t="inlineStr">
        <is>
          <t>ТПУ РАССКАЗОВКА</t>
        </is>
      </c>
      <c r="C45" s="1" t="inlineStr">
        <is>
          <t>СЗ ТПУ РАССКАЗОВКА</t>
        </is>
      </c>
      <c r="D45" s="1" t="inlineStr">
        <is>
          <t>ЖК «ГОРОДСКИЕ ИСТОРИИ»</t>
        </is>
      </c>
      <c r="E45" s="1" t="n"/>
      <c r="F45" s="8" t="inlineStr">
        <is>
          <t>25173</t>
        </is>
      </c>
      <c r="G45" s="1" t="inlineStr">
        <is>
          <t>77-001486</t>
        </is>
      </c>
      <c r="H45" s="1" t="n">
        <v>578</v>
      </c>
      <c r="I45" s="1" t="n">
        <v>0</v>
      </c>
      <c r="J45" s="1" t="inlineStr">
        <is>
          <t>31.12.2025 г.</t>
        </is>
      </c>
      <c r="K45" s="1" t="inlineStr">
        <is>
          <t>31.12.2026 г.</t>
        </is>
      </c>
      <c r="L45" s="1" t="n">
        <v>44</v>
      </c>
      <c r="M45" s="1" t="n">
        <v>44</v>
      </c>
      <c r="N45" s="1" t="inlineStr">
        <is>
          <t>31.12.2026 г.</t>
        </is>
      </c>
      <c r="O45" s="1" t="n">
        <v>534</v>
      </c>
    </row>
    <row r="46">
      <c r="B46" s="1" t="inlineStr">
        <is>
          <t>ТУШИНО 2018</t>
        </is>
      </c>
      <c r="C46" s="1" t="inlineStr">
        <is>
          <t>СЗ СТАДИОН СПАРТАК</t>
        </is>
      </c>
      <c r="D46" s="1" t="inlineStr">
        <is>
          <t>Жилой Комплекс "Холланд парк"</t>
        </is>
      </c>
      <c r="E46" s="1" t="inlineStr">
        <is>
          <t>Российская Федерация, город Москва, внутригородская территория муниципальный округ Покровское-Стрешнево, улица Николая Озерова, дом 7 корпус 1</t>
        </is>
      </c>
      <c r="F46" s="8" t="inlineStr">
        <is>
          <t>54521</t>
        </is>
      </c>
      <c r="G46" s="1" t="inlineStr">
        <is>
          <t>77-002927</t>
        </is>
      </c>
      <c r="H46" s="43" t="n">
        <v>1598</v>
      </c>
      <c r="I46" s="1" t="n">
        <v>0</v>
      </c>
      <c r="J46" s="20" t="n">
        <v>46172</v>
      </c>
      <c r="K46" s="1" t="inlineStr">
        <is>
          <t>30.07.2026</t>
        </is>
      </c>
      <c r="L46" s="43" t="n">
        <v>1598</v>
      </c>
      <c r="M46" s="1" t="n">
        <v>6</v>
      </c>
      <c r="N46" s="1" t="inlineStr">
        <is>
          <t>5 - до 30.06.2026; 1 - до 30.07.2026</t>
        </is>
      </c>
      <c r="O46" s="1" t="n">
        <v>1592</v>
      </c>
    </row>
    <row r="47" ht="30" customHeight="1">
      <c r="A47" s="27" t="n"/>
      <c r="B47" s="34" t="inlineStr">
        <is>
          <t>УЭЗ</t>
        </is>
      </c>
      <c r="C47" s="34" t="inlineStr">
        <is>
          <t>СЗ ТПУ МИЧУРИНСКИЙ ПРОСПЕКТ</t>
        </is>
      </c>
      <c r="D47" s="34" t="inlineStr">
        <is>
          <t>ЖК "Инноватор"</t>
        </is>
      </c>
      <c r="E47" s="34" t="inlineStr">
        <is>
          <t xml:space="preserve"> г. Москва, Мичуринский пр-т, вл.45</t>
        </is>
      </c>
      <c r="F47" s="35" t="inlineStr">
        <is>
          <t>39827</t>
        </is>
      </c>
      <c r="G47" s="34" t="inlineStr">
        <is>
          <t>77-002230</t>
        </is>
      </c>
      <c r="H47" s="36" t="n">
        <v>573</v>
      </c>
      <c r="I47" s="36" t="n">
        <v>0</v>
      </c>
      <c r="J47" s="37" t="n">
        <v>45626</v>
      </c>
      <c r="K47" s="37" t="n">
        <v>46295</v>
      </c>
      <c r="L47" s="36" t="n">
        <v>570</v>
      </c>
      <c r="M47" s="38" t="inlineStr">
        <is>
          <t>68
5</t>
        </is>
      </c>
      <c r="N47" s="39" t="inlineStr">
        <is>
          <t>до 30.06.2026
до 30.09.2026</t>
        </is>
      </c>
      <c r="O47" s="40" t="n">
        <v>497</v>
      </c>
      <c r="P47" s="27" t="n"/>
      <c r="Q47" s="27" t="n"/>
      <c r="R47" s="27" t="n"/>
    </row>
    <row r="48" ht="30" customHeight="1">
      <c r="A48" s="27" t="n"/>
      <c r="B48" s="34" t="inlineStr">
        <is>
          <t>УЭЗ</t>
        </is>
      </c>
      <c r="C48" s="34" t="inlineStr">
        <is>
          <t>СЗ ТПУ ЭЛЕКТРОЗАВОДСКАЯ</t>
        </is>
      </c>
      <c r="D48" s="34" t="inlineStr">
        <is>
          <t>ЖК "Интеллигент"</t>
        </is>
      </c>
      <c r="E48" s="34" t="inlineStr">
        <is>
          <t>г. Москва, Семеновская набережная, вл. 3, стр. 13А</t>
        </is>
      </c>
      <c r="F48" s="35" t="inlineStr">
        <is>
          <t>44125</t>
        </is>
      </c>
      <c r="G48" s="34" t="inlineStr">
        <is>
          <t>77-002363</t>
        </is>
      </c>
      <c r="H48" s="36" t="n">
        <v>751</v>
      </c>
      <c r="I48" s="36" t="n">
        <v>0</v>
      </c>
      <c r="J48" s="37" t="n">
        <v>45746</v>
      </c>
      <c r="K48" s="41" t="n">
        <v>46295</v>
      </c>
      <c r="L48" s="36" t="n">
        <v>738</v>
      </c>
      <c r="M48" s="38" t="inlineStr">
        <is>
          <t>27
7</t>
        </is>
      </c>
      <c r="N48" s="42" t="inlineStr">
        <is>
          <t>до 30.06.2026
до 30.09.2026</t>
        </is>
      </c>
      <c r="O48" s="40" t="n">
        <v>704</v>
      </c>
      <c r="P48" s="27" t="n"/>
      <c r="Q48" s="27" t="n"/>
      <c r="R48" s="27" t="n"/>
    </row>
    <row r="49">
      <c r="A49" s="27" t="n"/>
      <c r="B49" s="34" t="inlineStr">
        <is>
          <t>УЭЗ</t>
        </is>
      </c>
      <c r="C49" s="34" t="inlineStr">
        <is>
          <t>СЗ ТПУ ШЕЛЕПИХА</t>
        </is>
      </c>
      <c r="D49" s="34" t="inlineStr">
        <is>
          <t>ЖК Шелепиха</t>
        </is>
      </c>
      <c r="E49" s="34" t="inlineStr">
        <is>
          <t>г. Москва, Пресненский район, Шмитовский проезд, вл.40</t>
        </is>
      </c>
      <c r="F49" s="35" t="inlineStr">
        <is>
          <t>44596</t>
        </is>
      </c>
      <c r="G49" s="34" t="inlineStr">
        <is>
          <t>77-002383</t>
        </is>
      </c>
      <c r="H49" s="36" t="n">
        <v>447</v>
      </c>
      <c r="I49" s="36" t="n">
        <v>0</v>
      </c>
      <c r="J49" s="37" t="n">
        <v>46022</v>
      </c>
      <c r="K49" s="37" t="n">
        <v>46387</v>
      </c>
      <c r="L49" s="36" t="n">
        <v>0</v>
      </c>
      <c r="M49" s="36" t="n">
        <v>0</v>
      </c>
      <c r="N49" s="36" t="inlineStr">
        <is>
          <t xml:space="preserve"> -</t>
        </is>
      </c>
      <c r="O49" s="36" t="n">
        <v>0</v>
      </c>
      <c r="P49" s="27" t="n"/>
      <c r="Q49" s="27" t="n"/>
      <c r="R49" s="27" t="n"/>
    </row>
    <row r="50" ht="30" customHeight="1">
      <c r="B50" s="1" t="inlineStr">
        <is>
          <t>ТЕКТА ГРУПП</t>
        </is>
      </c>
      <c r="C50" s="1" t="inlineStr">
        <is>
          <t>СЗ ДЕРБЕНЕВСКИЙ</t>
        </is>
      </c>
      <c r="D50" s="1" t="inlineStr">
        <is>
          <t>ЖК Эра ЖК Премиум-квартал Эра</t>
        </is>
      </c>
      <c r="E50" s="11" t="n"/>
      <c r="F50" s="8" t="inlineStr">
        <is>
          <t>50651</t>
        </is>
      </c>
      <c r="G50" s="1" t="inlineStr">
        <is>
          <t>77-002827</t>
        </is>
      </c>
      <c r="H50" s="1" t="n">
        <v>989</v>
      </c>
      <c r="I50" s="1" t="n">
        <v>174</v>
      </c>
      <c r="J50" s="20" t="n">
        <v>46446</v>
      </c>
      <c r="K50" s="20" t="n">
        <v>46446</v>
      </c>
      <c r="L50" s="11" t="n">
        <v>0</v>
      </c>
      <c r="M50" s="3" t="n">
        <v>0</v>
      </c>
      <c r="N50" s="4" t="n">
        <v>0</v>
      </c>
      <c r="O50" s="1" t="n">
        <v>989</v>
      </c>
    </row>
    <row r="51">
      <c r="B51" s="1" t="inlineStr">
        <is>
          <t>ТЕКТА ГРУПП</t>
        </is>
      </c>
      <c r="C51" s="1" t="inlineStr">
        <is>
          <t>СЗ ДЕРБЕНЕВСКИЙ</t>
        </is>
      </c>
      <c r="D51" s="1" t="inlineStr">
        <is>
          <t>ЖК Эра ЖК Премиум-квартал Эра</t>
        </is>
      </c>
      <c r="E51" s="1" t="n"/>
      <c r="F51" s="8" t="inlineStr">
        <is>
          <t>62125</t>
        </is>
      </c>
      <c r="G51" s="1" t="inlineStr">
        <is>
          <t>77-003115</t>
        </is>
      </c>
      <c r="H51" s="1" t="n">
        <v>369</v>
      </c>
      <c r="I51" s="1" t="n">
        <v>0</v>
      </c>
      <c r="J51" s="20" t="n">
        <v>47421</v>
      </c>
      <c r="K51" s="20" t="n">
        <v>47574</v>
      </c>
      <c r="L51" s="1" t="n">
        <v>97</v>
      </c>
      <c r="M51" s="1" t="n">
        <v>1</v>
      </c>
      <c r="N51" s="20" t="n">
        <v>47574</v>
      </c>
      <c r="O51" s="1" t="n">
        <v>271</v>
      </c>
    </row>
    <row r="52">
      <c r="B52" s="1" t="inlineStr">
        <is>
          <t>Dominanta</t>
        </is>
      </c>
      <c r="C52" s="1" t="inlineStr">
        <is>
          <t>СЗ ХАЙДАУТ</t>
        </is>
      </c>
      <c r="D52" s="1" t="inlineStr">
        <is>
          <t>ХАЙДАУТ</t>
        </is>
      </c>
      <c r="E52" s="1" t="inlineStr">
        <is>
          <t>119136, г Москва, р-н Раменки, 3-й Сетуньский пр-д, уч 10</t>
        </is>
      </c>
      <c r="F52" s="8" t="inlineStr">
        <is>
          <t>60425</t>
        </is>
      </c>
      <c r="G52" s="1" t="inlineStr">
        <is>
          <t>77-003073</t>
        </is>
      </c>
      <c r="H52" s="1" t="n">
        <v>232</v>
      </c>
      <c r="I52" s="1" t="n">
        <v>70</v>
      </c>
      <c r="J52" s="20" t="n">
        <v>47118</v>
      </c>
      <c r="K52" s="20" t="n">
        <v>47299</v>
      </c>
      <c r="L52" s="1" t="n">
        <v>172</v>
      </c>
      <c r="M52" s="1" t="n">
        <v>2</v>
      </c>
      <c r="N52" s="20" t="n">
        <v>47299</v>
      </c>
      <c r="O52" s="1" t="n">
        <v>170</v>
      </c>
    </row>
  </sheetData>
  <mergeCells count="15">
    <mergeCell ref="P4:Q4"/>
    <mergeCell ref="H3:H5"/>
    <mergeCell ref="L3:L5"/>
    <mergeCell ref="R4:R5"/>
    <mergeCell ref="C3:C5"/>
    <mergeCell ref="G3:G5"/>
    <mergeCell ref="M3:O3"/>
    <mergeCell ref="E3:E5"/>
    <mergeCell ref="O4:O5"/>
    <mergeCell ref="D3:D5"/>
    <mergeCell ref="J3:J5"/>
    <mergeCell ref="B3:B5"/>
    <mergeCell ref="K3:K5"/>
    <mergeCell ref="I3:I5"/>
    <mergeCell ref="M4:N4"/>
  </mergeCells>
  <pageMargins left="0.25" right="0.25" top="0.75" bottom="0.75" header="0.3" footer="0.3"/>
  <pageSetup orientation="landscape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2026-07-23T15:31:53Z</dcterms:modified>
  <cp:lastModifiedBy>Цевелев Дмитрий Игоревич</cp:lastModifiedBy>
  <cp:lastPrinted>2026-07-22T08:45:50Z</cp:lastPrinted>
</cp:coreProperties>
</file>